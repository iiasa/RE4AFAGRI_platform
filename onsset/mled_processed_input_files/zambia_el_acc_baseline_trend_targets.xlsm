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ython\RE4AFAGRI\RE4AFAGRI_platform\onsset\onsset_replication\"/>
    </mc:Choice>
  </mc:AlternateContent>
  <xr:revisionPtr revIDLastSave="0" documentId="13_ncr:1_{210589A1-D159-4933-8265-1A27B68FD781}" xr6:coauthVersionLast="47" xr6:coauthVersionMax="47" xr10:uidLastSave="{00000000-0000-0000-0000-000000000000}"/>
  <bookViews>
    <workbookView xWindow="25490" yWindow="-7270" windowWidth="38620" windowHeight="21100" xr2:uid="{00000000-000D-0000-FFFF-FFFF00000000}"/>
  </bookViews>
  <sheets>
    <sheet name="zambia_el_acc_baseline_tre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D16" i="1" s="1"/>
</calcChain>
</file>

<file path=xl/sharedStrings.xml><?xml version="1.0" encoding="utf-8"?>
<sst xmlns="http://schemas.openxmlformats.org/spreadsheetml/2006/main" count="4" uniqueCount="4">
  <si>
    <t>Target "Moderate Development"</t>
  </si>
  <si>
    <t>Target "Sustainable Development"</t>
  </si>
  <si>
    <t>Projected "Baseline"</t>
  </si>
  <si>
    <t>Access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</si>
</sst>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800" b="0"/>
              <a:t>National Electrification Rate Projections and Scenario Targets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627542246874312E-2"/>
          <c:y val="0.10631783660656245"/>
          <c:w val="0.80309659568416014"/>
          <c:h val="0.69919557836840374"/>
        </c:manualLayout>
      </c:layout>
      <c:scatterChart>
        <c:scatterStyle val="lineMarker"/>
        <c:varyColors val="0"/>
        <c:ser>
          <c:idx val="0"/>
          <c:order val="0"/>
          <c:tx>
            <c:strRef>
              <c:f>zambia_el_acc_baseline_trend!$B$1</c:f>
              <c:strCache>
                <c:ptCount val="1"/>
                <c:pt idx="0">
                  <c:v>Projected "Baseline"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A6-4CB8-80E8-12F093C67C4D}"/>
                </c:ext>
              </c:extLst>
            </c:dLbl>
            <c:dLbl>
              <c:idx val="11"/>
              <c:layout>
                <c:manualLayout>
                  <c:x val="-9.8196346146386879E-3"/>
                  <c:y val="6.481739270645776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FC-4603-B73F-86EE805B7E12}"/>
                </c:ext>
              </c:extLst>
            </c:dLbl>
            <c:dLbl>
              <c:idx val="12"/>
              <c:layout>
                <c:manualLayout>
                  <c:x val="-3.6092212611354618E-2"/>
                  <c:y val="6.254207985094009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FC-4603-B73F-86EE805B7E12}"/>
                </c:ext>
              </c:extLst>
            </c:dLbl>
            <c:dLbl>
              <c:idx val="13"/>
              <c:layout>
                <c:manualLayout>
                  <c:x val="-4.922850160971258E-2"/>
                  <c:y val="6.25420798509401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FC-4603-B73F-86EE805B7E12}"/>
                </c:ext>
              </c:extLst>
            </c:dLbl>
            <c:dLbl>
              <c:idx val="14"/>
              <c:layout>
                <c:manualLayout>
                  <c:x val="-4.9261083743842365E-3"/>
                  <c:y val="9.68869420332696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A6-4CB8-80E8-12F093C67C4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472C4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zambia_el_acc_baseline_trend!$A$2:$A$16</c:f>
              <c:numCache>
                <c:formatCode>General</c:formatCode>
                <c:ptCount val="1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2030</c:v>
                </c:pt>
                <c:pt idx="12">
                  <c:v>2040</c:v>
                </c:pt>
                <c:pt idx="13">
                  <c:v>2050</c:v>
                </c:pt>
                <c:pt idx="14">
                  <c:v>2060</c:v>
                </c:pt>
              </c:numCache>
            </c:numRef>
          </c:xVal>
          <c:yVal>
            <c:numRef>
              <c:f>zambia_el_acc_baseline_trend!$B$2:$B$16</c:f>
              <c:numCache>
                <c:formatCode>0.0%</c:formatCode>
                <c:ptCount val="15"/>
                <c:pt idx="0">
                  <c:v>0.22</c:v>
                </c:pt>
                <c:pt idx="1">
                  <c:v>0.28159009933471701</c:v>
                </c:pt>
                <c:pt idx="2">
                  <c:v>0.29012725830078101</c:v>
                </c:pt>
                <c:pt idx="3">
                  <c:v>0.29886272430419902</c:v>
                </c:pt>
                <c:pt idx="4">
                  <c:v>0.27899999999999997</c:v>
                </c:pt>
                <c:pt idx="5">
                  <c:v>0.311</c:v>
                </c:pt>
                <c:pt idx="6">
                  <c:v>0.354254531860352</c:v>
                </c:pt>
                <c:pt idx="7">
                  <c:v>0.40299999999999997</c:v>
                </c:pt>
                <c:pt idx="8">
                  <c:v>0.40317890167236298</c:v>
                </c:pt>
                <c:pt idx="9">
                  <c:v>0.43</c:v>
                </c:pt>
                <c:pt idx="10">
                  <c:v>0.45352911040181199</c:v>
                </c:pt>
                <c:pt idx="11">
                  <c:v>0.73974467650298203</c:v>
                </c:pt>
                <c:pt idx="12">
                  <c:v>0.92720097992655703</c:v>
                </c:pt>
                <c:pt idx="13">
                  <c:v>0.98678443337090604</c:v>
                </c:pt>
                <c:pt idx="14">
                  <c:v>0.99825700684180396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A6-4CB8-80E8-12F093C67C4D}"/>
            </c:ext>
          </c:extLst>
        </c:ser>
        <c:ser>
          <c:idx val="2"/>
          <c:order val="2"/>
          <c:tx>
            <c:strRef>
              <c:f>zambia_el_acc_baseline_trend!$D$1</c:f>
              <c:strCache>
                <c:ptCount val="1"/>
                <c:pt idx="0">
                  <c:v>Target "Moderate Development"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>
                <a:solidFill>
                  <a:schemeClr val="accent3"/>
                </a:solidFill>
              </a:ln>
              <a:effectLst/>
            </c:spPr>
          </c:marker>
          <c:dLbls>
            <c:dLbl>
              <c:idx val="13"/>
              <c:layout>
                <c:manualLayout>
                  <c:x val="2.6272577996715809E-2"/>
                  <c:y val="4.394638540979994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A6-4CB8-80E8-12F093C67C4D}"/>
                </c:ext>
              </c:extLst>
            </c:dLbl>
            <c:dLbl>
              <c:idx val="14"/>
              <c:layout>
                <c:manualLayout>
                  <c:x val="1.8062397372742199E-2"/>
                  <c:y val="4.3946385409799841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6A6-4CB8-80E8-12F093C67C4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A5A5A5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zambia_el_acc_baseline_trend!$A$2:$A$16</c:f>
              <c:numCache>
                <c:formatCode>General</c:formatCode>
                <c:ptCount val="1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2030</c:v>
                </c:pt>
                <c:pt idx="12">
                  <c:v>2040</c:v>
                </c:pt>
                <c:pt idx="13">
                  <c:v>2050</c:v>
                </c:pt>
                <c:pt idx="14">
                  <c:v>2060</c:v>
                </c:pt>
              </c:numCache>
            </c:numRef>
          </c:xVal>
          <c:yVal>
            <c:numRef>
              <c:f>zambia_el_acc_baseline_trend!$D$2:$D$16</c:f>
              <c:numCache>
                <c:formatCode>0.0%</c:formatCode>
                <c:ptCount val="15"/>
                <c:pt idx="0">
                  <c:v>0.22</c:v>
                </c:pt>
                <c:pt idx="1">
                  <c:v>0.28159009933471701</c:v>
                </c:pt>
                <c:pt idx="2">
                  <c:v>0.29012725830078101</c:v>
                </c:pt>
                <c:pt idx="3">
                  <c:v>0.29886272430419902</c:v>
                </c:pt>
                <c:pt idx="4">
                  <c:v>0.27899999999999997</c:v>
                </c:pt>
                <c:pt idx="5">
                  <c:v>0.311</c:v>
                </c:pt>
                <c:pt idx="6">
                  <c:v>0.354254531860352</c:v>
                </c:pt>
                <c:pt idx="7">
                  <c:v>0.40299999999999997</c:v>
                </c:pt>
                <c:pt idx="8">
                  <c:v>0.40317890167236298</c:v>
                </c:pt>
                <c:pt idx="9">
                  <c:v>0.43</c:v>
                </c:pt>
                <c:pt idx="10">
                  <c:v>0.45352911040181199</c:v>
                </c:pt>
                <c:pt idx="11">
                  <c:v>0.86987233825149102</c:v>
                </c:pt>
                <c:pt idx="12">
                  <c:v>0.96360048996327852</c:v>
                </c:pt>
                <c:pt idx="13">
                  <c:v>0.99339221668545297</c:v>
                </c:pt>
                <c:pt idx="14">
                  <c:v>0.99912850342090198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6-4CB8-80E8-12F093C67C4D}"/>
            </c:ext>
          </c:extLst>
        </c:ser>
        <c:ser>
          <c:idx val="3"/>
          <c:order val="3"/>
          <c:tx>
            <c:strRef>
              <c:f>zambia_el_acc_baseline_trend!$E$1</c:f>
              <c:strCache>
                <c:ptCount val="1"/>
                <c:pt idx="0">
                  <c:v>Target "Sustainable Development"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2857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A6-4CB8-80E8-12F093C67C4D}"/>
                </c:ext>
              </c:extLst>
            </c:dLbl>
            <c:dLbl>
              <c:idx val="12"/>
              <c:layout>
                <c:manualLayout>
                  <c:x val="-5.3638984782074656E-2"/>
                  <c:y val="-5.571614128438724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FC-4603-B73F-86EE805B7E12}"/>
                </c:ext>
              </c:extLst>
            </c:dLbl>
            <c:dLbl>
              <c:idx val="13"/>
              <c:layout>
                <c:manualLayout>
                  <c:x val="-5.5281020906869399E-2"/>
                  <c:y val="-5.571614128438724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FC-4603-B73F-86EE805B7E12}"/>
                </c:ext>
              </c:extLst>
            </c:dLbl>
            <c:dLbl>
              <c:idx val="14"/>
              <c:layout>
                <c:manualLayout>
                  <c:x val="-6.5681444991789817E-3"/>
                  <c:y val="-6.557845798285452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A6-4CB8-80E8-12F093C67C4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C000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zambia_el_acc_baseline_trend!$A$2:$A$16</c:f>
              <c:numCache>
                <c:formatCode>General</c:formatCode>
                <c:ptCount val="1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2030</c:v>
                </c:pt>
                <c:pt idx="12">
                  <c:v>2040</c:v>
                </c:pt>
                <c:pt idx="13">
                  <c:v>2050</c:v>
                </c:pt>
                <c:pt idx="14">
                  <c:v>2060</c:v>
                </c:pt>
              </c:numCache>
            </c:numRef>
          </c:xVal>
          <c:yVal>
            <c:numRef>
              <c:f>zambia_el_acc_baseline_trend!$E$2:$E$16</c:f>
              <c:numCache>
                <c:formatCode>0.0%</c:formatCode>
                <c:ptCount val="15"/>
                <c:pt idx="0">
                  <c:v>0.22</c:v>
                </c:pt>
                <c:pt idx="1">
                  <c:v>0.28159009933471701</c:v>
                </c:pt>
                <c:pt idx="2">
                  <c:v>0.29012725830078101</c:v>
                </c:pt>
                <c:pt idx="3">
                  <c:v>0.29886272430419902</c:v>
                </c:pt>
                <c:pt idx="4">
                  <c:v>0.27899999999999997</c:v>
                </c:pt>
                <c:pt idx="5">
                  <c:v>0.311</c:v>
                </c:pt>
                <c:pt idx="6">
                  <c:v>0.354254531860352</c:v>
                </c:pt>
                <c:pt idx="7">
                  <c:v>0.40299999999999997</c:v>
                </c:pt>
                <c:pt idx="8">
                  <c:v>0.40317890167236298</c:v>
                </c:pt>
                <c:pt idx="9">
                  <c:v>0.43</c:v>
                </c:pt>
                <c:pt idx="10">
                  <c:v>0.45352911040181199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A6-4CB8-80E8-12F093C67C4D}"/>
            </c:ext>
          </c:extLst>
        </c:ser>
        <c:ser>
          <c:idx val="4"/>
          <c:order val="4"/>
          <c:tx>
            <c:strRef>
              <c:f>zambia_el_acc_baseline_trend!#REF!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13"/>
              <c:layout>
                <c:manualLayout>
                  <c:x val="3.2840722495893707E-3"/>
                  <c:y val="-3.955174686882004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A6-4CB8-80E8-12F093C67C4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zambia_el_acc_baseline_trend!$A$2:$A$16</c:f>
              <c:numCache>
                <c:formatCode>General</c:formatCode>
                <c:ptCount val="1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2030</c:v>
                </c:pt>
                <c:pt idx="12">
                  <c:v>2040</c:v>
                </c:pt>
                <c:pt idx="13">
                  <c:v>2050</c:v>
                </c:pt>
                <c:pt idx="14">
                  <c:v>2060</c:v>
                </c:pt>
              </c:numCache>
            </c:numRef>
          </c:xVal>
          <c:yVal>
            <c:numRef>
              <c:f>zambia_el_acc_baseline_trend!#REF!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A6-4CB8-80E8-12F093C67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596752"/>
        <c:axId val="179059883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zambia_el_acc_baseline_trend!$C$1</c15:sqref>
                        </c15:formulaRef>
                      </c:ext>
                    </c:extLst>
                    <c:strCache>
                      <c:ptCount val="1"/>
                      <c:pt idx="0">
                        <c:v>Access Gap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zambia_el_acc_baseline_trend!$A$2:$A$16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2010</c:v>
                      </c:pt>
                      <c:pt idx="1">
                        <c:v>2011</c:v>
                      </c:pt>
                      <c:pt idx="2">
                        <c:v>2012</c:v>
                      </c:pt>
                      <c:pt idx="3">
                        <c:v>2013</c:v>
                      </c:pt>
                      <c:pt idx="4">
                        <c:v>2014</c:v>
                      </c:pt>
                      <c:pt idx="5">
                        <c:v>2015</c:v>
                      </c:pt>
                      <c:pt idx="6">
                        <c:v>2016</c:v>
                      </c:pt>
                      <c:pt idx="7">
                        <c:v>2017</c:v>
                      </c:pt>
                      <c:pt idx="8">
                        <c:v>2018</c:v>
                      </c:pt>
                      <c:pt idx="9">
                        <c:v>2019</c:v>
                      </c:pt>
                      <c:pt idx="10">
                        <c:v>2020</c:v>
                      </c:pt>
                      <c:pt idx="11">
                        <c:v>2030</c:v>
                      </c:pt>
                      <c:pt idx="12">
                        <c:v>2040</c:v>
                      </c:pt>
                      <c:pt idx="13">
                        <c:v>2050</c:v>
                      </c:pt>
                      <c:pt idx="14">
                        <c:v>2060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zambia_el_acc_baseline_trend!$C$2:$C$16</c15:sqref>
                        </c15:formulaRef>
                      </c:ext>
                    </c:extLst>
                    <c:numCache>
                      <c:formatCode>0.0%</c:formatCode>
                      <c:ptCount val="15"/>
                      <c:pt idx="0">
                        <c:v>0.78</c:v>
                      </c:pt>
                      <c:pt idx="1">
                        <c:v>0.71840990066528299</c:v>
                      </c:pt>
                      <c:pt idx="2">
                        <c:v>0.70987274169921899</c:v>
                      </c:pt>
                      <c:pt idx="3">
                        <c:v>0.70113727569580098</c:v>
                      </c:pt>
                      <c:pt idx="4">
                        <c:v>0.72100000000000009</c:v>
                      </c:pt>
                      <c:pt idx="5">
                        <c:v>0.68900000000000006</c:v>
                      </c:pt>
                      <c:pt idx="6">
                        <c:v>0.64574546813964795</c:v>
                      </c:pt>
                      <c:pt idx="7">
                        <c:v>0.59699999999999998</c:v>
                      </c:pt>
                      <c:pt idx="8">
                        <c:v>0.59682109832763697</c:v>
                      </c:pt>
                      <c:pt idx="9">
                        <c:v>0.57000000000000006</c:v>
                      </c:pt>
                      <c:pt idx="10">
                        <c:v>0.54647088959818801</c:v>
                      </c:pt>
                      <c:pt idx="11">
                        <c:v>0.26025532349701797</c:v>
                      </c:pt>
                      <c:pt idx="12">
                        <c:v>7.2799020073442966E-2</c:v>
                      </c:pt>
                      <c:pt idx="13">
                        <c:v>1.3215566629093956E-2</c:v>
                      </c:pt>
                      <c:pt idx="14">
                        <c:v>1.7429931581960378E-3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6A6-4CB8-80E8-12F093C67C4D}"/>
                  </c:ext>
                </c:extLst>
              </c15:ser>
            </c15:filteredScatterSeries>
          </c:ext>
        </c:extLst>
      </c:scatterChart>
      <c:valAx>
        <c:axId val="1790596752"/>
        <c:scaling>
          <c:orientation val="minMax"/>
          <c:max val="2060"/>
          <c:min val="20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598832"/>
        <c:crosses val="autoZero"/>
        <c:crossBetween val="midCat"/>
      </c:valAx>
      <c:valAx>
        <c:axId val="1790598832"/>
        <c:scaling>
          <c:orientation val="minMax"/>
          <c:max val="1.05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59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14733072159083563"/>
          <c:y val="0.85410066915696969"/>
          <c:w val="0.69220226781997074"/>
          <c:h val="0.129984502790393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453390</xdr:colOff>
      <xdr:row>0</xdr:row>
      <xdr:rowOff>34290</xdr:rowOff>
    </xdr:from>
    <xdr:to>
      <xdr:col>18</xdr:col>
      <xdr:colOff>262890</xdr:colOff>
      <xdr:row>30</xdr:row>
      <xdr:rowOff>93980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75957B-4CCC-8CB6-8ABC-38E293E8BC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6"/>
  <sheetViews>
    <sheetView tabSelected="1" topLeftCell="B1" workbookViewId="0">
      <selection activeCell="V10" sqref="V10"/>
    </sheetView>
  </sheetViews>
  <sheetFormatPr defaultRowHeight="14.4" x14ac:dyDescent="0.3"/>
  <cols>
    <col min="2" max="2" width="17.88671875" bestFit="1" customWidth="1"/>
    <col min="3" max="3" width="10.6640625" customWidth="1"/>
    <col min="4" max="5" width="30.6640625" bestFit="1" customWidth="1"/>
  </cols>
  <sheetData>
    <row r="1" spans="1:5" x14ac:dyDescent="0.3">
      <c r="B1" t="s">
        <v>2</v>
      </c>
      <c r="C1" t="s">
        <v>3</v>
      </c>
      <c r="D1" t="s">
        <v>0</v>
      </c>
      <c r="E1" t="s">
        <v>1</v>
      </c>
    </row>
    <row r="2" spans="1:5" x14ac:dyDescent="0.3">
      <c r="A2">
        <v>2010</v>
      </c>
      <c r="B2" s="1">
        <v>0.22</v>
      </c>
      <c r="C2" s="1">
        <f>1-B2</f>
        <v>0.78</v>
      </c>
      <c r="D2" s="1">
        <f t="shared" ref="D2:D11" si="0">B2</f>
        <v>0.22</v>
      </c>
      <c r="E2" s="1">
        <f t="shared" ref="E2:E11" si="1">B2</f>
        <v>0.22</v>
      </c>
    </row>
    <row r="3" spans="1:5" x14ac:dyDescent="0.3">
      <c r="A3">
        <v>2011</v>
      </c>
      <c r="B3" s="1">
        <v>0.28159009933471701</v>
      </c>
      <c r="C3" s="1">
        <f t="shared" ref="C3:C16" si="2">1-B3</f>
        <v>0.71840990066528299</v>
      </c>
      <c r="D3" s="1">
        <f t="shared" si="0"/>
        <v>0.28159009933471701</v>
      </c>
      <c r="E3" s="1">
        <f t="shared" si="1"/>
        <v>0.28159009933471701</v>
      </c>
    </row>
    <row r="4" spans="1:5" x14ac:dyDescent="0.3">
      <c r="A4">
        <v>2012</v>
      </c>
      <c r="B4" s="1">
        <v>0.29012725830078101</v>
      </c>
      <c r="C4" s="1">
        <f t="shared" si="2"/>
        <v>0.70987274169921899</v>
      </c>
      <c r="D4" s="1">
        <f t="shared" si="0"/>
        <v>0.29012725830078101</v>
      </c>
      <c r="E4" s="1">
        <f t="shared" si="1"/>
        <v>0.29012725830078101</v>
      </c>
    </row>
    <row r="5" spans="1:5" x14ac:dyDescent="0.3">
      <c r="A5">
        <v>2013</v>
      </c>
      <c r="B5" s="1">
        <v>0.29886272430419902</v>
      </c>
      <c r="C5" s="1">
        <f t="shared" si="2"/>
        <v>0.70113727569580098</v>
      </c>
      <c r="D5" s="1">
        <f t="shared" si="0"/>
        <v>0.29886272430419902</v>
      </c>
      <c r="E5" s="1">
        <f t="shared" si="1"/>
        <v>0.29886272430419902</v>
      </c>
    </row>
    <row r="6" spans="1:5" x14ac:dyDescent="0.3">
      <c r="A6">
        <v>2014</v>
      </c>
      <c r="B6" s="1">
        <v>0.27899999999999997</v>
      </c>
      <c r="C6" s="1">
        <f t="shared" si="2"/>
        <v>0.72100000000000009</v>
      </c>
      <c r="D6" s="1">
        <f t="shared" si="0"/>
        <v>0.27899999999999997</v>
      </c>
      <c r="E6" s="1">
        <f t="shared" si="1"/>
        <v>0.27899999999999997</v>
      </c>
    </row>
    <row r="7" spans="1:5" x14ac:dyDescent="0.3">
      <c r="A7">
        <v>2015</v>
      </c>
      <c r="B7" s="1">
        <v>0.311</v>
      </c>
      <c r="C7" s="1">
        <f t="shared" si="2"/>
        <v>0.68900000000000006</v>
      </c>
      <c r="D7" s="1">
        <f t="shared" si="0"/>
        <v>0.311</v>
      </c>
      <c r="E7" s="1">
        <f t="shared" si="1"/>
        <v>0.311</v>
      </c>
    </row>
    <row r="8" spans="1:5" x14ac:dyDescent="0.3">
      <c r="A8">
        <v>2016</v>
      </c>
      <c r="B8" s="1">
        <v>0.354254531860352</v>
      </c>
      <c r="C8" s="1">
        <f t="shared" si="2"/>
        <v>0.64574546813964795</v>
      </c>
      <c r="D8" s="1">
        <f t="shared" si="0"/>
        <v>0.354254531860352</v>
      </c>
      <c r="E8" s="1">
        <f t="shared" si="1"/>
        <v>0.354254531860352</v>
      </c>
    </row>
    <row r="9" spans="1:5" x14ac:dyDescent="0.3">
      <c r="A9">
        <v>2017</v>
      </c>
      <c r="B9" s="1">
        <v>0.40299999999999997</v>
      </c>
      <c r="C9" s="1">
        <f t="shared" si="2"/>
        <v>0.59699999999999998</v>
      </c>
      <c r="D9" s="1">
        <f t="shared" si="0"/>
        <v>0.40299999999999997</v>
      </c>
      <c r="E9" s="1">
        <f t="shared" si="1"/>
        <v>0.40299999999999997</v>
      </c>
    </row>
    <row r="10" spans="1:5" x14ac:dyDescent="0.3">
      <c r="A10">
        <v>2018</v>
      </c>
      <c r="B10" s="1">
        <v>0.40317890167236298</v>
      </c>
      <c r="C10" s="1">
        <f t="shared" si="2"/>
        <v>0.59682109832763697</v>
      </c>
      <c r="D10" s="1">
        <f t="shared" si="0"/>
        <v>0.40317890167236298</v>
      </c>
      <c r="E10" s="1">
        <f t="shared" si="1"/>
        <v>0.40317890167236298</v>
      </c>
    </row>
    <row r="11" spans="1:5" x14ac:dyDescent="0.3">
      <c r="A11">
        <v>2019</v>
      </c>
      <c r="B11" s="1">
        <v>0.43</v>
      </c>
      <c r="C11" s="1">
        <f t="shared" si="2"/>
        <v>0.57000000000000006</v>
      </c>
      <c r="D11" s="1">
        <f t="shared" si="0"/>
        <v>0.43</v>
      </c>
      <c r="E11" s="1">
        <f t="shared" si="1"/>
        <v>0.43</v>
      </c>
    </row>
    <row r="12" spans="1:5" x14ac:dyDescent="0.3">
      <c r="A12">
        <v>2020</v>
      </c>
      <c r="B12" s="1">
        <v>0.45352911040181199</v>
      </c>
      <c r="C12" s="1">
        <f t="shared" si="2"/>
        <v>0.54647088959818801</v>
      </c>
      <c r="D12" s="1">
        <f>B12</f>
        <v>0.45352911040181199</v>
      </c>
      <c r="E12" s="1">
        <f>B12</f>
        <v>0.45352911040181199</v>
      </c>
    </row>
    <row r="13" spans="1:5" x14ac:dyDescent="0.3">
      <c r="A13">
        <v>2030</v>
      </c>
      <c r="B13" s="1">
        <v>0.73974467650298203</v>
      </c>
      <c r="C13" s="1">
        <f t="shared" si="2"/>
        <v>0.26025532349701797</v>
      </c>
      <c r="D13" s="1">
        <f t="shared" ref="D13:D16" si="3">1-C13/2</f>
        <v>0.86987233825149102</v>
      </c>
      <c r="E13" s="1">
        <v>1</v>
      </c>
    </row>
    <row r="14" spans="1:5" x14ac:dyDescent="0.3">
      <c r="A14">
        <v>2040</v>
      </c>
      <c r="B14" s="1">
        <v>0.92720097992655703</v>
      </c>
      <c r="C14" s="1">
        <f t="shared" si="2"/>
        <v>7.2799020073442966E-2</v>
      </c>
      <c r="D14" s="1">
        <f t="shared" si="3"/>
        <v>0.96360048996327852</v>
      </c>
      <c r="E14" s="1">
        <v>1</v>
      </c>
    </row>
    <row r="15" spans="1:5" x14ac:dyDescent="0.3">
      <c r="A15">
        <v>2050</v>
      </c>
      <c r="B15" s="1">
        <v>0.98678443337090604</v>
      </c>
      <c r="C15" s="1">
        <f t="shared" si="2"/>
        <v>1.3215566629093956E-2</v>
      </c>
      <c r="D15" s="1">
        <f t="shared" si="3"/>
        <v>0.99339221668545297</v>
      </c>
      <c r="E15" s="1">
        <v>1</v>
      </c>
    </row>
    <row r="16" spans="1:5" x14ac:dyDescent="0.3">
      <c r="A16">
        <v>2060</v>
      </c>
      <c r="B16" s="1">
        <v>0.99825700684180396</v>
      </c>
      <c r="C16" s="1">
        <f t="shared" si="2"/>
        <v>1.7429931581960378E-3</v>
      </c>
      <c r="D16" s="1">
        <f t="shared" si="3"/>
        <v>0.99912850342090198</v>
      </c>
      <c r="E16" s="1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zambia_el_acc_baseline_trend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Gregory Ireland</cp:lastModifiedBy>
  <dcterms:created xsi:type="dcterms:W3CDTF">2023-02-20T18:15:43Z</dcterms:created>
  <dcterms:modified xsi:type="dcterms:W3CDTF">2023-02-27T14:07:24Z</dcterms:modified>
</cp:coreProperties>
</file>